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on\Documents\Projects\nelon-shift-nextjs\"/>
    </mc:Choice>
  </mc:AlternateContent>
  <xr:revisionPtr revIDLastSave="0" documentId="13_ncr:1_{FF12B202-6625-4AEB-AE3D-9A91C503818F}" xr6:coauthVersionLast="47" xr6:coauthVersionMax="47" xr10:uidLastSave="{00000000-0000-0000-0000-000000000000}"/>
  <bookViews>
    <workbookView xWindow="14370" yWindow="150" windowWidth="14385" windowHeight="16005" xr2:uid="{232A9F9B-12D3-430A-A292-2797B32A5E04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" i="1" l="1"/>
  <c r="B1" i="1"/>
  <c r="M6" i="1"/>
  <c r="N6" i="1"/>
  <c r="M7" i="1"/>
  <c r="N7" i="1"/>
  <c r="N8" i="1"/>
  <c r="N9" i="1"/>
  <c r="N10" i="1"/>
</calcChain>
</file>

<file path=xl/sharedStrings.xml><?xml version="1.0" encoding="utf-8"?>
<sst xmlns="http://schemas.openxmlformats.org/spreadsheetml/2006/main" count="20" uniqueCount="20">
  <si>
    <t>Итого</t>
  </si>
  <si>
    <t>Часы</t>
  </si>
  <si>
    <t>С Налогом</t>
  </si>
  <si>
    <t>Дата</t>
  </si>
  <si>
    <t>Смена</t>
  </si>
  <si>
    <t>Суточные</t>
  </si>
  <si>
    <t>Переработка</t>
  </si>
  <si>
    <t>Билеты</t>
  </si>
  <si>
    <t>Сумма</t>
  </si>
  <si>
    <t>Время</t>
  </si>
  <si>
    <t>Компенсация</t>
  </si>
  <si>
    <t>Общая сумма</t>
  </si>
  <si>
    <t>07:00-21:00</t>
  </si>
  <si>
    <t>06:00-18:00</t>
  </si>
  <si>
    <t>09:00-20:00</t>
  </si>
  <si>
    <t>10:00-20:00</t>
  </si>
  <si>
    <t>09:00-21:00</t>
  </si>
  <si>
    <t>06:00-20:00</t>
  </si>
  <si>
    <t>08:00-19:00</t>
  </si>
  <si>
    <t>Вася Пупкин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</si>
</sst>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IosevkaTerm NF"/>
      <family val="3"/>
      <charset val="204"/>
    </font>
    <font>
      <b/>
      <sz val="12"/>
      <color theme="1"/>
      <name val="IosevkaTerm NF"/>
      <family val="3"/>
      <charset val="204"/>
    </font>
    <font>
      <sz val="9"/>
      <color theme="1"/>
      <name val="IosevkaTerm NF"/>
      <family val="3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B0632-872C-431C-99CB-08E45DC44C1A}">
  <dimension ref="A1:O12"/>
  <sheetViews>
    <sheetView tabSelected="1" zoomScale="70" zoomScaleNormal="70" workbookViewId="0">
      <selection activeCell="O12" sqref="A1:O12"/>
    </sheetView>
  </sheetViews>
  <sheetFormatPr defaultColWidth="8.7109375" defaultRowHeight="15" x14ac:dyDescent="0.25"/>
  <cols>
    <col min="1" max="2" width="13.7109375" bestFit="1" customWidth="1"/>
    <col min="3" max="8" width="10.42578125" bestFit="1" customWidth="1"/>
    <col min="9" max="9" width="8.28515625" bestFit="1" customWidth="1"/>
    <col min="10" max="12" width="10" customWidth="1"/>
    <col min="13" max="13" width="11.28515625" bestFit="1" customWidth="1"/>
    <col min="14" max="14" width="13.7109375" bestFit="1" customWidth="1"/>
  </cols>
  <sheetData>
    <row r="1" spans="1:15" x14ac:dyDescent="0.25">
      <c r="A1" s="1" t="s">
        <v>11</v>
      </c>
      <c r="B1" s="1">
        <f>N12</f>
        <v>41702.127659574471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0" t="s">
        <v>19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"/>
    </row>
    <row r="4" spans="1:15" ht="16.5" x14ac:dyDescent="0.3">
      <c r="A4" s="2" t="s">
        <v>3</v>
      </c>
      <c r="B4" s="3">
        <v>45947</v>
      </c>
      <c r="C4" s="3">
        <v>45948</v>
      </c>
      <c r="D4" s="3">
        <v>45949</v>
      </c>
      <c r="E4" s="3">
        <v>45950</v>
      </c>
      <c r="F4" s="3">
        <v>45951</v>
      </c>
      <c r="G4" s="3">
        <v>45952</v>
      </c>
      <c r="H4" s="3">
        <v>45953</v>
      </c>
      <c r="I4" s="3">
        <v>45954</v>
      </c>
      <c r="J4" s="3"/>
      <c r="K4" s="3"/>
      <c r="L4" s="3"/>
      <c r="M4" s="2" t="s">
        <v>1</v>
      </c>
      <c r="N4" s="2" t="s">
        <v>8</v>
      </c>
      <c r="O4" s="1"/>
    </row>
    <row r="5" spans="1:15" x14ac:dyDescent="0.25">
      <c r="A5" s="4" t="s">
        <v>9</v>
      </c>
      <c r="B5" s="5" t="s">
        <v>14</v>
      </c>
      <c r="C5" s="5" t="s">
        <v>15</v>
      </c>
      <c r="D5" s="5" t="s">
        <v>16</v>
      </c>
      <c r="E5" s="5" t="s">
        <v>12</v>
      </c>
      <c r="F5" s="5" t="s">
        <v>17</v>
      </c>
      <c r="G5" s="5" t="s">
        <v>13</v>
      </c>
      <c r="H5" s="5" t="s">
        <v>18</v>
      </c>
      <c r="I5" s="5"/>
      <c r="J5" s="6"/>
      <c r="K5" s="6"/>
      <c r="L5" s="6"/>
      <c r="M5" s="4"/>
      <c r="N5" s="7"/>
      <c r="O5" s="1"/>
    </row>
    <row r="6" spans="1:15" x14ac:dyDescent="0.25">
      <c r="A6" s="4" t="s">
        <v>4</v>
      </c>
      <c r="B6" s="5">
        <v>12</v>
      </c>
      <c r="C6" s="5">
        <v>12</v>
      </c>
      <c r="D6" s="5">
        <v>12</v>
      </c>
      <c r="E6" s="5">
        <v>12</v>
      </c>
      <c r="F6" s="5">
        <v>12</v>
      </c>
      <c r="G6" s="5">
        <v>12</v>
      </c>
      <c r="H6" s="5">
        <v>12</v>
      </c>
      <c r="I6" s="5"/>
      <c r="J6" s="5"/>
      <c r="K6" s="5"/>
      <c r="L6" s="5"/>
      <c r="M6" s="4">
        <f>SUM(B6:L6)</f>
        <v>84</v>
      </c>
      <c r="N6" s="4">
        <f>M6/12*4000</f>
        <v>28000</v>
      </c>
      <c r="O6" s="1"/>
    </row>
    <row r="7" spans="1:15" x14ac:dyDescent="0.25">
      <c r="A7" s="4" t="s">
        <v>6</v>
      </c>
      <c r="B7" s="5"/>
      <c r="C7" s="5"/>
      <c r="D7" s="5"/>
      <c r="E7" s="5">
        <v>2</v>
      </c>
      <c r="F7" s="5">
        <v>2</v>
      </c>
      <c r="G7" s="5"/>
      <c r="H7" s="5"/>
      <c r="I7" s="5"/>
      <c r="J7" s="8"/>
      <c r="K7" s="8"/>
      <c r="L7" s="8"/>
      <c r="M7" s="4">
        <f>B7+C7+D7+E7+F7+G7+H7+I7+J7+K7+L7</f>
        <v>4</v>
      </c>
      <c r="N7" s="4">
        <f>M7*400</f>
        <v>1600</v>
      </c>
      <c r="O7" s="1"/>
    </row>
    <row r="8" spans="1:15" x14ac:dyDescent="0.25">
      <c r="A8" s="4" t="s">
        <v>5</v>
      </c>
      <c r="B8" s="5">
        <v>1200</v>
      </c>
      <c r="C8" s="5">
        <v>1200</v>
      </c>
      <c r="D8" s="5">
        <v>1200</v>
      </c>
      <c r="E8" s="5">
        <v>1200</v>
      </c>
      <c r="F8" s="5">
        <v>1200</v>
      </c>
      <c r="G8" s="5">
        <v>1200</v>
      </c>
      <c r="H8" s="5">
        <v>1200</v>
      </c>
      <c r="I8" s="5">
        <v>1200</v>
      </c>
      <c r="J8" s="5"/>
      <c r="K8" s="5"/>
      <c r="L8" s="5"/>
      <c r="M8" s="4"/>
      <c r="N8" s="4">
        <f>SUM(B8:L8)</f>
        <v>9600</v>
      </c>
      <c r="O8" s="1"/>
    </row>
    <row r="9" spans="1:15" x14ac:dyDescent="0.25">
      <c r="A9" s="4" t="s">
        <v>10</v>
      </c>
      <c r="B9" s="5"/>
      <c r="C9" s="5"/>
      <c r="D9" s="5"/>
      <c r="E9" s="5"/>
      <c r="F9" s="5"/>
      <c r="G9" s="5"/>
      <c r="H9" s="5"/>
      <c r="I9" s="5"/>
      <c r="J9" s="8"/>
      <c r="K9" s="8"/>
      <c r="L9" s="8"/>
      <c r="M9" s="4"/>
      <c r="N9" s="4">
        <f>SUM(B9:L9)</f>
        <v>0</v>
      </c>
      <c r="O9" s="1"/>
    </row>
    <row r="10" spans="1:1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4" t="s">
        <v>0</v>
      </c>
      <c r="N10" s="4">
        <f>N6+N8+N7+N9</f>
        <v>39200</v>
      </c>
      <c r="O10" s="1"/>
    </row>
    <row r="11" spans="1:15" x14ac:dyDescent="0.25">
      <c r="A11" s="1"/>
      <c r="B11" s="1"/>
      <c r="C11" s="1"/>
      <c r="D11" s="1"/>
      <c r="E11" s="9"/>
      <c r="F11" s="9"/>
      <c r="G11" s="1"/>
      <c r="H11" s="1"/>
      <c r="I11" s="1"/>
      <c r="J11" s="1"/>
      <c r="K11" s="1"/>
      <c r="L11" s="1"/>
      <c r="M11" s="4" t="s">
        <v>7</v>
      </c>
      <c r="N11" s="4">
        <v>0</v>
      </c>
      <c r="O11" s="1"/>
    </row>
    <row r="12" spans="1:1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4" t="s">
        <v>2</v>
      </c>
      <c r="N12" s="4">
        <f>(N10+N11)*100/94</f>
        <v>41702.127659574471</v>
      </c>
      <c r="O12" s="1"/>
    </row>
  </sheetData>
  <mergeCells count="1">
    <mergeCell ref="A3:N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ПК</dc:creator>
  <cp:lastModifiedBy>Nelon Arrive</cp:lastModifiedBy>
  <dcterms:created xsi:type="dcterms:W3CDTF">2024-10-07T07:59:04Z</dcterms:created>
  <dcterms:modified xsi:type="dcterms:W3CDTF">2025-10-25T18:23:53Z</dcterms:modified>
</cp:coreProperties>
</file>